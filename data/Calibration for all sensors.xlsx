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3aa0aba1499c3f/Desktop/Hakman/sensors/shots/sheets/"/>
    </mc:Choice>
  </mc:AlternateContent>
  <xr:revisionPtr revIDLastSave="172" documentId="8_{B9B573E0-7430-43D7-B335-4EBDC4E2C546}" xr6:coauthVersionLast="47" xr6:coauthVersionMax="47" xr10:uidLastSave="{03C6AA3C-1B79-4728-875C-8B43F1A8F112}"/>
  <bookViews>
    <workbookView xWindow="-110" yWindow="-110" windowWidth="19420" windowHeight="10300" xr2:uid="{064E46C8-CE86-4989-9CD9-799735B925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R11" i="1"/>
  <c r="Q11" i="1"/>
  <c r="H45" i="1"/>
  <c r="D45" i="1"/>
  <c r="H38" i="1"/>
  <c r="D38" i="1"/>
  <c r="D31" i="1"/>
  <c r="H31" i="1"/>
  <c r="H24" i="1"/>
  <c r="F24" i="1"/>
  <c r="D24" i="1"/>
  <c r="H17" i="1"/>
  <c r="D17" i="1"/>
  <c r="H10" i="1"/>
  <c r="F10" i="1"/>
  <c r="D10" i="1"/>
</calcChain>
</file>

<file path=xl/sharedStrings.xml><?xml version="1.0" encoding="utf-8"?>
<sst xmlns="http://schemas.openxmlformats.org/spreadsheetml/2006/main" count="45" uniqueCount="39">
  <si>
    <t>At 5cm</t>
  </si>
  <si>
    <t>SONAR</t>
  </si>
  <si>
    <t>LIDAR</t>
  </si>
  <si>
    <t>IR</t>
  </si>
  <si>
    <t>At 10cm</t>
  </si>
  <si>
    <t>At 15cm</t>
  </si>
  <si>
    <t>At 20cm</t>
  </si>
  <si>
    <t>At 30cm</t>
  </si>
  <si>
    <t>At 25cm</t>
  </si>
  <si>
    <t>Sonar Avg</t>
  </si>
  <si>
    <t>Lidar Avg</t>
  </si>
  <si>
    <t>Sample</t>
  </si>
  <si>
    <t>True Distance</t>
  </si>
  <si>
    <t>IR Avg</t>
  </si>
  <si>
    <t>IR_Dist = 12.627 * (IR_Volt_Avg ^ 0.824)</t>
  </si>
  <si>
    <t>Sonar Err</t>
  </si>
  <si>
    <t>Lidar Err</t>
  </si>
  <si>
    <t>IR Dist</t>
  </si>
  <si>
    <t>IR Err</t>
  </si>
  <si>
    <t>Avg_Error</t>
  </si>
  <si>
    <t>Average SONAR error = 0.0203</t>
  </si>
  <si>
    <t xml:space="preserve">Average LIDAR error = 1.600 </t>
  </si>
  <si>
    <t>Compare before and after calibration</t>
  </si>
  <si>
    <t>True Dist</t>
  </si>
  <si>
    <t>Sonar Raw E</t>
  </si>
  <si>
    <t>Sonar E after Cal</t>
  </si>
  <si>
    <t>Lidar Raw</t>
  </si>
  <si>
    <t>Lidar After Cal</t>
  </si>
  <si>
    <t>After IR Calbration (IR_Avg vs True Distance) - distance = 11.458v^0.6704</t>
  </si>
  <si>
    <t>Sonar_Avg</t>
  </si>
  <si>
    <t>Lidar_Avg</t>
  </si>
  <si>
    <t>IR_Avg</t>
  </si>
  <si>
    <t>IR_Dist</t>
  </si>
  <si>
    <t>True_Dist</t>
  </si>
  <si>
    <t>Sonar_Err</t>
  </si>
  <si>
    <t>Lidar_Err</t>
  </si>
  <si>
    <t>IR_Err</t>
  </si>
  <si>
    <t>Sonar _Err_Cal</t>
  </si>
  <si>
    <t>Lidar_Err_Cal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</si>
</sst>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5" xfId="0" applyFont="1" applyBorder="1"/>
    <xf numFmtId="0" fontId="0" fillId="0" borderId="6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0" fillId="0" borderId="13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/>
    </xf>
    <xf numFmtId="0" fontId="0" fillId="0" borderId="17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0318391298135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85375719053738"/>
          <c:y val="0.1572156862745098"/>
          <c:w val="0.85500823623772115"/>
          <c:h val="0.67675237690724355"/>
        </c:manualLayout>
      </c:layout>
      <c:scatterChart>
        <c:scatterStyle val="lineMarker"/>
        <c:varyColors val="0"/>
        <c:ser>
          <c:idx val="0"/>
          <c:order val="0"/>
          <c:tx>
            <c:v>IR calibration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7369916269548953E-2"/>
                  <c:y val="0.311663998431731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Sheet1!$M$5:$M$10</c:f>
              <c:numCache>
                <c:formatCode>General</c:formatCode>
                <c:ptCount val="6"/>
                <c:pt idx="0">
                  <c:v>1.1830000000000001</c:v>
                </c:pt>
                <c:pt idx="1">
                  <c:v>1.173</c:v>
                </c:pt>
                <c:pt idx="2">
                  <c:v>1.1299999999999999</c:v>
                </c:pt>
                <c:pt idx="3">
                  <c:v>1.1288</c:v>
                </c:pt>
                <c:pt idx="4">
                  <c:v>1.3784000000000001</c:v>
                </c:pt>
                <c:pt idx="5">
                  <c:v>4.4820000000000002</c:v>
                </c:pt>
              </c:numCache>
            </c:numRef>
          </c:xVal>
          <c:yVal>
            <c:numRef>
              <c:f>Sheet1!$P$5:$P$10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E-46A1-9AD7-75CC4F9AD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069727"/>
        <c:axId val="1769068767"/>
      </c:scatterChart>
      <c:valAx>
        <c:axId val="176906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IR Voltage</a:t>
                </a:r>
                <a:r>
                  <a:rPr lang="en-GB" baseline="0"/>
                  <a:t> average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68767"/>
        <c:crosses val="autoZero"/>
        <c:crossBetween val="midCat"/>
      </c:valAx>
      <c:valAx>
        <c:axId val="176906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true</a:t>
                </a:r>
                <a:r>
                  <a:rPr lang="en-GB" baseline="0"/>
                  <a:t> distance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6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17</xdr:row>
      <xdr:rowOff>50800</xdr:rowOff>
    </xdr:from>
    <xdr:to>
      <xdr:col>13</xdr:col>
      <xdr:colOff>558800</xdr:colOff>
      <xdr:row>31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ADF77-C26E-3CB7-A46C-0C0F58FEB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1609-EC18-4750-9450-8A07F02FD9AC}">
  <dimension ref="A3:T45"/>
  <sheetViews>
    <sheetView tabSelected="1" topLeftCell="C4" workbookViewId="0">
      <selection activeCell="M12" sqref="M12"/>
    </sheetView>
  </sheetViews>
  <sheetFormatPr defaultRowHeight="14.5" x14ac:dyDescent="0.35"/>
  <cols>
    <col min="10" max="10" width="12" style="12" bestFit="1" customWidth="1"/>
    <col min="11" max="13" width="8.7265625" style="14"/>
    <col min="16" max="16" width="12" bestFit="1" customWidth="1"/>
    <col min="18" max="18" width="12.90625" customWidth="1"/>
  </cols>
  <sheetData>
    <row r="3" spans="1:20" ht="15" thickBot="1" x14ac:dyDescent="0.4">
      <c r="A3" s="1"/>
      <c r="B3" s="1"/>
      <c r="C3" s="1"/>
      <c r="N3" t="s">
        <v>14</v>
      </c>
    </row>
    <row r="4" spans="1:20" x14ac:dyDescent="0.35">
      <c r="A4" s="4"/>
      <c r="B4" s="34" t="s">
        <v>11</v>
      </c>
      <c r="C4" s="34"/>
      <c r="D4" s="34" t="s">
        <v>1</v>
      </c>
      <c r="E4" s="34"/>
      <c r="F4" s="34" t="s">
        <v>2</v>
      </c>
      <c r="G4" s="34"/>
      <c r="H4" s="35" t="s">
        <v>3</v>
      </c>
      <c r="J4" s="25" t="s">
        <v>12</v>
      </c>
      <c r="K4" s="26" t="s">
        <v>9</v>
      </c>
      <c r="L4" s="26" t="s">
        <v>10</v>
      </c>
      <c r="M4" s="26" t="s">
        <v>13</v>
      </c>
      <c r="N4" s="27" t="s">
        <v>17</v>
      </c>
      <c r="O4" s="14"/>
      <c r="P4" s="25" t="s">
        <v>12</v>
      </c>
      <c r="Q4" s="26" t="s">
        <v>15</v>
      </c>
      <c r="R4" s="26" t="s">
        <v>16</v>
      </c>
      <c r="S4" s="26" t="s">
        <v>18</v>
      </c>
      <c r="T4" s="27" t="s">
        <v>17</v>
      </c>
    </row>
    <row r="5" spans="1:20" x14ac:dyDescent="0.35">
      <c r="A5" s="5" t="s">
        <v>0</v>
      </c>
      <c r="B5" s="2">
        <v>1</v>
      </c>
      <c r="C5" s="2"/>
      <c r="D5" s="2">
        <v>4.71</v>
      </c>
      <c r="E5" s="2"/>
      <c r="F5" s="2">
        <v>5</v>
      </c>
      <c r="G5" s="2"/>
      <c r="H5" s="6">
        <v>1.1930000000000001</v>
      </c>
      <c r="J5" s="21">
        <v>5</v>
      </c>
      <c r="K5" s="14">
        <v>4.6900000000000004</v>
      </c>
      <c r="L5" s="14">
        <v>5</v>
      </c>
      <c r="M5" s="14">
        <v>1.1830000000000001</v>
      </c>
      <c r="N5" s="17">
        <v>14.502000000000001</v>
      </c>
      <c r="P5" s="21">
        <v>5</v>
      </c>
      <c r="Q5" s="14">
        <v>0.31</v>
      </c>
      <c r="R5" s="14">
        <v>0</v>
      </c>
      <c r="S5">
        <v>-9.5020000000000007</v>
      </c>
      <c r="T5" s="17">
        <v>14.502000000000001</v>
      </c>
    </row>
    <row r="6" spans="1:20" x14ac:dyDescent="0.35">
      <c r="A6" s="7"/>
      <c r="B6" s="2">
        <v>2</v>
      </c>
      <c r="C6" s="2"/>
      <c r="D6" s="2">
        <v>4.71</v>
      </c>
      <c r="E6" s="2"/>
      <c r="F6" s="2">
        <v>5</v>
      </c>
      <c r="G6" s="2"/>
      <c r="H6" s="6">
        <v>1.1970000000000001</v>
      </c>
      <c r="J6" s="21">
        <v>10</v>
      </c>
      <c r="K6" s="14">
        <v>10.074</v>
      </c>
      <c r="L6" s="14">
        <v>9</v>
      </c>
      <c r="M6" s="14">
        <v>1.173</v>
      </c>
      <c r="N6" s="17">
        <v>14.401</v>
      </c>
      <c r="P6" s="21">
        <v>10</v>
      </c>
      <c r="Q6" s="14">
        <v>-7.3999999999999996E-2</v>
      </c>
      <c r="R6" s="14">
        <v>1</v>
      </c>
      <c r="S6">
        <v>-4.4009999999999998</v>
      </c>
      <c r="T6" s="17">
        <v>14.401</v>
      </c>
    </row>
    <row r="7" spans="1:20" x14ac:dyDescent="0.35">
      <c r="A7" s="7"/>
      <c r="B7" s="2">
        <v>3</v>
      </c>
      <c r="C7" s="2"/>
      <c r="D7" s="2">
        <v>4.71</v>
      </c>
      <c r="E7" s="2"/>
      <c r="F7" s="2">
        <v>5</v>
      </c>
      <c r="G7" s="2"/>
      <c r="H7" s="6">
        <v>1.153</v>
      </c>
      <c r="J7" s="21">
        <v>15</v>
      </c>
      <c r="K7" s="14">
        <v>15.08</v>
      </c>
      <c r="L7" s="14">
        <v>14</v>
      </c>
      <c r="M7" s="14">
        <v>1.1299999999999999</v>
      </c>
      <c r="N7" s="17">
        <v>13.965</v>
      </c>
      <c r="P7" s="21">
        <v>15</v>
      </c>
      <c r="Q7" s="14">
        <v>-0.08</v>
      </c>
      <c r="R7" s="14">
        <v>2.6</v>
      </c>
      <c r="S7">
        <v>-1.0349999999999999</v>
      </c>
      <c r="T7" s="17">
        <v>13.965</v>
      </c>
    </row>
    <row r="8" spans="1:20" x14ac:dyDescent="0.35">
      <c r="A8" s="7"/>
      <c r="B8" s="2">
        <v>4</v>
      </c>
      <c r="C8" s="2"/>
      <c r="D8" s="2">
        <v>4.71</v>
      </c>
      <c r="E8" s="2"/>
      <c r="F8" s="2">
        <v>5</v>
      </c>
      <c r="G8" s="2"/>
      <c r="H8" s="6">
        <v>1.173</v>
      </c>
      <c r="J8" s="21">
        <v>20</v>
      </c>
      <c r="K8" s="14">
        <v>19.82</v>
      </c>
      <c r="L8" s="14">
        <v>19</v>
      </c>
      <c r="M8" s="14">
        <v>1.1288</v>
      </c>
      <c r="N8" s="17">
        <v>13.952</v>
      </c>
      <c r="P8" s="21">
        <v>20</v>
      </c>
      <c r="Q8" s="14">
        <v>0.18</v>
      </c>
      <c r="R8" s="14">
        <v>2</v>
      </c>
      <c r="S8">
        <v>-6.048</v>
      </c>
      <c r="T8" s="17">
        <v>13.952</v>
      </c>
    </row>
    <row r="9" spans="1:20" x14ac:dyDescent="0.35">
      <c r="A9" s="7"/>
      <c r="B9" s="2">
        <v>5</v>
      </c>
      <c r="C9" s="2"/>
      <c r="D9" s="2">
        <v>4.6100000000000003</v>
      </c>
      <c r="E9" s="2"/>
      <c r="F9" s="2">
        <v>5</v>
      </c>
      <c r="G9" s="2"/>
      <c r="H9" s="6">
        <v>1.1970000000000001</v>
      </c>
      <c r="J9" s="21">
        <v>25</v>
      </c>
      <c r="K9" s="14">
        <v>25.114000000000001</v>
      </c>
      <c r="L9" s="14">
        <v>23</v>
      </c>
      <c r="M9" s="14">
        <v>1.3784000000000001</v>
      </c>
      <c r="N9" s="17">
        <v>14.04</v>
      </c>
      <c r="P9" s="21">
        <v>25</v>
      </c>
      <c r="Q9" s="14">
        <v>-0.114</v>
      </c>
      <c r="R9" s="14">
        <v>2</v>
      </c>
      <c r="S9">
        <v>9.0399999999999991</v>
      </c>
      <c r="T9" s="17">
        <v>14.04</v>
      </c>
    </row>
    <row r="10" spans="1:20" s="1" customFormat="1" ht="15" thickBot="1" x14ac:dyDescent="0.4">
      <c r="A10" s="5"/>
      <c r="B10" s="3"/>
      <c r="C10" s="3"/>
      <c r="D10" s="3">
        <f>AVERAGE(D5:D9)</f>
        <v>4.6899999999999995</v>
      </c>
      <c r="E10" s="3"/>
      <c r="F10" s="3">
        <f>AVERAGE(F5:F9)</f>
        <v>5</v>
      </c>
      <c r="G10" s="3"/>
      <c r="H10" s="8">
        <f>AVERAGE(H5:H9)</f>
        <v>1.1826000000000001</v>
      </c>
      <c r="J10" s="22">
        <v>30</v>
      </c>
      <c r="K10" s="23">
        <v>30.1</v>
      </c>
      <c r="L10" s="23">
        <v>28</v>
      </c>
      <c r="M10" s="23">
        <v>4.4820000000000002</v>
      </c>
      <c r="N10" s="24">
        <v>43.46</v>
      </c>
      <c r="O10"/>
      <c r="P10" s="22">
        <v>30</v>
      </c>
      <c r="Q10" s="14">
        <v>-0.1</v>
      </c>
      <c r="R10" s="23">
        <v>2</v>
      </c>
      <c r="S10">
        <v>-13.46</v>
      </c>
      <c r="T10" s="17">
        <v>43.46</v>
      </c>
    </row>
    <row r="11" spans="1:20" s="1" customFormat="1" ht="15" thickBot="1" x14ac:dyDescent="0.4">
      <c r="A11" s="5"/>
      <c r="B11" s="3"/>
      <c r="C11" s="3"/>
      <c r="D11" s="3"/>
      <c r="E11" s="3"/>
      <c r="F11" s="3"/>
      <c r="G11" s="3"/>
      <c r="H11" s="8"/>
      <c r="J11" s="13"/>
      <c r="K11" s="15"/>
      <c r="L11" s="15"/>
      <c r="M11" s="15"/>
      <c r="P11" s="18" t="s">
        <v>19</v>
      </c>
      <c r="Q11" s="19">
        <f>AVERAGE(Q5:Q10)</f>
        <v>2.0333333333333328E-2</v>
      </c>
      <c r="R11" s="19">
        <f>AVERAGE(R5:R10)</f>
        <v>1.5999999999999999</v>
      </c>
      <c r="S11" s="19">
        <f>AVERAGE(S5:S10)</f>
        <v>-4.2343333333333337</v>
      </c>
      <c r="T11" s="20"/>
    </row>
    <row r="12" spans="1:20" x14ac:dyDescent="0.35">
      <c r="A12" s="5" t="s">
        <v>4</v>
      </c>
      <c r="B12" s="2">
        <v>1</v>
      </c>
      <c r="C12" s="2"/>
      <c r="D12" s="2">
        <v>10.029999999999999</v>
      </c>
      <c r="E12" s="2"/>
      <c r="F12" s="2">
        <v>9</v>
      </c>
      <c r="G12" s="2"/>
      <c r="H12" s="6">
        <v>1.1830000000000001</v>
      </c>
    </row>
    <row r="13" spans="1:20" ht="15" thickBot="1" x14ac:dyDescent="0.4">
      <c r="A13" s="7"/>
      <c r="B13" s="2">
        <v>2</v>
      </c>
      <c r="C13" s="2"/>
      <c r="D13" s="2">
        <v>10.35</v>
      </c>
      <c r="E13" s="2"/>
      <c r="F13" s="2">
        <v>9</v>
      </c>
      <c r="G13" s="2"/>
      <c r="H13" s="6">
        <v>1.1830000000000001</v>
      </c>
      <c r="P13" s="1" t="s">
        <v>22</v>
      </c>
      <c r="Q13" s="1"/>
      <c r="R13" s="1"/>
    </row>
    <row r="14" spans="1:20" x14ac:dyDescent="0.35">
      <c r="A14" s="7"/>
      <c r="B14" s="2">
        <v>3</v>
      </c>
      <c r="C14" s="2"/>
      <c r="D14" s="2">
        <v>9.93</v>
      </c>
      <c r="E14" s="2"/>
      <c r="F14" s="2">
        <v>9</v>
      </c>
      <c r="G14" s="2"/>
      <c r="H14" s="6">
        <v>1.173</v>
      </c>
      <c r="M14" s="14" t="s">
        <v>20</v>
      </c>
      <c r="P14" s="31" t="s">
        <v>23</v>
      </c>
      <c r="Q14" s="32" t="s">
        <v>24</v>
      </c>
      <c r="R14" s="32" t="s">
        <v>25</v>
      </c>
      <c r="S14" s="32" t="s">
        <v>26</v>
      </c>
      <c r="T14" s="33" t="s">
        <v>27</v>
      </c>
    </row>
    <row r="15" spans="1:20" x14ac:dyDescent="0.35">
      <c r="A15" s="7"/>
      <c r="B15" s="2">
        <v>4</v>
      </c>
      <c r="C15" s="2"/>
      <c r="D15" s="2">
        <v>10.029999999999999</v>
      </c>
      <c r="E15" s="2"/>
      <c r="F15" s="2">
        <v>9</v>
      </c>
      <c r="G15" s="2"/>
      <c r="H15" s="6">
        <v>1.173</v>
      </c>
      <c r="M15" s="14" t="s">
        <v>21</v>
      </c>
      <c r="P15" s="16">
        <v>5</v>
      </c>
      <c r="Q15" s="14">
        <v>0.31</v>
      </c>
      <c r="R15">
        <v>0.28970000000000001</v>
      </c>
      <c r="S15" s="14">
        <v>0</v>
      </c>
      <c r="T15" s="17">
        <v>-1.6</v>
      </c>
    </row>
    <row r="16" spans="1:20" x14ac:dyDescent="0.35">
      <c r="A16" s="7"/>
      <c r="B16" s="2">
        <v>5</v>
      </c>
      <c r="C16" s="2"/>
      <c r="D16" s="2">
        <v>10.029999999999999</v>
      </c>
      <c r="E16" s="2"/>
      <c r="F16" s="2">
        <v>9</v>
      </c>
      <c r="G16" s="2"/>
      <c r="H16" s="6">
        <v>1.153</v>
      </c>
      <c r="L16" s="14" t="s">
        <v>28</v>
      </c>
      <c r="P16" s="16">
        <v>10</v>
      </c>
      <c r="Q16" s="14">
        <v>-7.3999999999999996E-2</v>
      </c>
      <c r="R16">
        <v>-9.4299999999999995E-2</v>
      </c>
      <c r="S16" s="14">
        <v>1</v>
      </c>
      <c r="T16" s="17">
        <v>-0.6</v>
      </c>
    </row>
    <row r="17" spans="1:20" s="1" customFormat="1" x14ac:dyDescent="0.35">
      <c r="A17" s="5"/>
      <c r="B17" s="3"/>
      <c r="C17" s="3"/>
      <c r="D17" s="3">
        <f>AVERAGE(D12:D16)</f>
        <v>10.074</v>
      </c>
      <c r="E17" s="3"/>
      <c r="F17" s="3">
        <v>9</v>
      </c>
      <c r="G17" s="3"/>
      <c r="H17" s="8">
        <f>AVERAGE(H12:H16)</f>
        <v>1.173</v>
      </c>
      <c r="J17" s="13"/>
      <c r="K17" s="15"/>
      <c r="L17" s="15"/>
      <c r="M17" s="15"/>
      <c r="P17" s="16">
        <v>15</v>
      </c>
      <c r="Q17" s="14">
        <v>-0.08</v>
      </c>
      <c r="R17">
        <v>-0.1003</v>
      </c>
      <c r="S17" s="14">
        <v>2.6</v>
      </c>
      <c r="T17" s="28">
        <v>1</v>
      </c>
    </row>
    <row r="18" spans="1:20" x14ac:dyDescent="0.35">
      <c r="A18" s="7"/>
      <c r="B18" s="2"/>
      <c r="C18" s="2"/>
      <c r="D18" s="2"/>
      <c r="E18" s="2"/>
      <c r="F18" s="2"/>
      <c r="G18" s="2"/>
      <c r="H18" s="6"/>
      <c r="P18" s="16">
        <v>20</v>
      </c>
      <c r="Q18" s="14">
        <v>0.18</v>
      </c>
      <c r="R18">
        <v>0.15970000000000001</v>
      </c>
      <c r="S18" s="14">
        <v>2</v>
      </c>
      <c r="T18" s="17">
        <v>0.4</v>
      </c>
    </row>
    <row r="19" spans="1:20" x14ac:dyDescent="0.35">
      <c r="A19" s="5" t="s">
        <v>5</v>
      </c>
      <c r="B19" s="2">
        <v>1</v>
      </c>
      <c r="C19" s="2"/>
      <c r="D19" s="2">
        <v>15.08</v>
      </c>
      <c r="E19" s="2"/>
      <c r="F19" s="2">
        <v>14</v>
      </c>
      <c r="G19" s="2"/>
      <c r="H19" s="6">
        <v>1.1339999999999999</v>
      </c>
      <c r="P19" s="16">
        <v>25</v>
      </c>
      <c r="Q19" s="14">
        <v>-0.114</v>
      </c>
      <c r="R19">
        <v>-0.1343</v>
      </c>
      <c r="S19" s="14">
        <v>2</v>
      </c>
      <c r="T19" s="17">
        <v>0.4</v>
      </c>
    </row>
    <row r="20" spans="1:20" ht="15" thickBot="1" x14ac:dyDescent="0.4">
      <c r="A20" s="7"/>
      <c r="B20" s="2">
        <v>2</v>
      </c>
      <c r="C20" s="2"/>
      <c r="D20" s="2">
        <v>15.08</v>
      </c>
      <c r="E20" s="2"/>
      <c r="F20" s="2">
        <v>14</v>
      </c>
      <c r="G20" s="2"/>
      <c r="H20" s="6">
        <v>1.129</v>
      </c>
      <c r="P20" s="29">
        <v>30</v>
      </c>
      <c r="Q20" s="23">
        <v>-0.1</v>
      </c>
      <c r="R20" s="30">
        <v>-0.1203</v>
      </c>
      <c r="S20" s="23">
        <v>2</v>
      </c>
      <c r="T20" s="24">
        <v>0.4</v>
      </c>
    </row>
    <row r="21" spans="1:20" x14ac:dyDescent="0.35">
      <c r="A21" s="7"/>
      <c r="B21" s="2">
        <v>3</v>
      </c>
      <c r="C21" s="2"/>
      <c r="D21" s="2">
        <v>15.08</v>
      </c>
      <c r="E21" s="2"/>
      <c r="F21" s="2">
        <v>14</v>
      </c>
      <c r="G21" s="2"/>
      <c r="H21" s="6">
        <v>1.139</v>
      </c>
    </row>
    <row r="22" spans="1:20" x14ac:dyDescent="0.35">
      <c r="A22" s="7"/>
      <c r="B22" s="2">
        <v>4</v>
      </c>
      <c r="C22" s="2"/>
      <c r="D22" s="2">
        <v>15.08</v>
      </c>
      <c r="E22" s="2"/>
      <c r="F22" s="2">
        <v>14</v>
      </c>
      <c r="G22" s="2"/>
      <c r="H22" s="6">
        <v>1.1240000000000001</v>
      </c>
    </row>
    <row r="23" spans="1:20" x14ac:dyDescent="0.35">
      <c r="A23" s="7"/>
      <c r="B23" s="2">
        <v>5</v>
      </c>
      <c r="C23" s="2"/>
      <c r="D23" s="2">
        <v>15.08</v>
      </c>
      <c r="E23" s="2"/>
      <c r="F23" s="2">
        <v>14</v>
      </c>
      <c r="G23" s="2"/>
      <c r="H23" s="6">
        <v>1.1240000000000001</v>
      </c>
    </row>
    <row r="24" spans="1:20" s="1" customFormat="1" x14ac:dyDescent="0.35">
      <c r="A24" s="5"/>
      <c r="B24" s="3"/>
      <c r="C24" s="3"/>
      <c r="D24" s="3">
        <f>AVERAGE(D19:D23)</f>
        <v>15.080000000000002</v>
      </c>
      <c r="E24" s="3"/>
      <c r="F24" s="3">
        <f>AVERAGE(F19:F23)</f>
        <v>14</v>
      </c>
      <c r="G24" s="3"/>
      <c r="H24" s="8">
        <f>AVERAGE(H19:H23)</f>
        <v>1.1300000000000001</v>
      </c>
      <c r="J24" s="13"/>
      <c r="K24" s="15"/>
      <c r="L24" s="15"/>
      <c r="M24" s="15"/>
    </row>
    <row r="25" spans="1:20" x14ac:dyDescent="0.35">
      <c r="A25" s="7"/>
      <c r="B25" s="2"/>
      <c r="C25" s="2"/>
      <c r="D25" s="2"/>
      <c r="E25" s="2"/>
      <c r="F25" s="2"/>
      <c r="G25" s="2"/>
      <c r="H25" s="6"/>
    </row>
    <row r="26" spans="1:20" x14ac:dyDescent="0.35">
      <c r="A26" s="5" t="s">
        <v>6</v>
      </c>
      <c r="B26" s="2">
        <v>1</v>
      </c>
      <c r="C26" s="2"/>
      <c r="D26" s="2">
        <v>19.97</v>
      </c>
      <c r="E26" s="2"/>
      <c r="F26" s="2">
        <v>19</v>
      </c>
      <c r="G26" s="2"/>
      <c r="H26" s="6">
        <v>1.143</v>
      </c>
    </row>
    <row r="27" spans="1:20" x14ac:dyDescent="0.35">
      <c r="A27" s="7"/>
      <c r="B27" s="2">
        <v>2</v>
      </c>
      <c r="C27" s="2"/>
      <c r="D27" s="2">
        <v>19.989999999999998</v>
      </c>
      <c r="E27" s="2"/>
      <c r="F27" s="2">
        <v>19</v>
      </c>
      <c r="G27" s="2"/>
      <c r="H27" s="6">
        <v>1.109</v>
      </c>
    </row>
    <row r="28" spans="1:20" x14ac:dyDescent="0.35">
      <c r="A28" s="7"/>
      <c r="B28" s="2">
        <v>3</v>
      </c>
      <c r="C28" s="2"/>
      <c r="D28" s="2">
        <v>19.989999999999998</v>
      </c>
      <c r="E28" s="2"/>
      <c r="F28" s="2">
        <v>19</v>
      </c>
      <c r="G28" s="2"/>
      <c r="H28" s="6">
        <v>1.119</v>
      </c>
    </row>
    <row r="29" spans="1:20" x14ac:dyDescent="0.35">
      <c r="A29" s="7"/>
      <c r="B29" s="2">
        <v>4</v>
      </c>
      <c r="C29" s="2"/>
      <c r="D29" s="2">
        <v>19.579999999999998</v>
      </c>
      <c r="E29" s="2"/>
      <c r="F29" s="2">
        <v>19</v>
      </c>
      <c r="G29" s="2"/>
      <c r="H29" s="6">
        <v>1.139</v>
      </c>
    </row>
    <row r="30" spans="1:20" x14ac:dyDescent="0.35">
      <c r="A30" s="7"/>
      <c r="B30" s="2">
        <v>5</v>
      </c>
      <c r="C30" s="2"/>
      <c r="D30" s="2">
        <v>19.57</v>
      </c>
      <c r="E30" s="2"/>
      <c r="F30" s="2">
        <v>19</v>
      </c>
      <c r="G30" s="2"/>
      <c r="H30" s="6">
        <v>1.1339999999999999</v>
      </c>
    </row>
    <row r="31" spans="1:20" s="1" customFormat="1" x14ac:dyDescent="0.35">
      <c r="A31" s="5"/>
      <c r="B31" s="3"/>
      <c r="C31" s="3"/>
      <c r="D31" s="3">
        <f>AVERAGE(D26:D30)</f>
        <v>19.82</v>
      </c>
      <c r="E31" s="3"/>
      <c r="F31" s="3">
        <v>19</v>
      </c>
      <c r="G31" s="3"/>
      <c r="H31" s="8">
        <f>AVERAGE(H26:H30)</f>
        <v>1.1288</v>
      </c>
      <c r="J31" s="13"/>
      <c r="K31" s="15"/>
      <c r="L31" s="15"/>
      <c r="M31" s="15"/>
    </row>
    <row r="32" spans="1:20" x14ac:dyDescent="0.35">
      <c r="A32" s="7"/>
      <c r="B32" s="2"/>
      <c r="C32" s="2"/>
      <c r="D32" s="2"/>
      <c r="E32" s="2"/>
      <c r="F32" s="2"/>
      <c r="G32" s="2"/>
      <c r="H32" s="6"/>
    </row>
    <row r="33" spans="1:13" x14ac:dyDescent="0.35">
      <c r="A33" s="5" t="s">
        <v>8</v>
      </c>
      <c r="B33" s="2">
        <v>1</v>
      </c>
      <c r="C33" s="2"/>
      <c r="D33" s="2">
        <v>25.26</v>
      </c>
      <c r="E33" s="2"/>
      <c r="F33" s="2">
        <v>23</v>
      </c>
      <c r="G33" s="2"/>
      <c r="H33" s="6">
        <v>1.8480000000000001</v>
      </c>
    </row>
    <row r="34" spans="1:13" x14ac:dyDescent="0.35">
      <c r="A34" s="7"/>
      <c r="B34" s="2">
        <v>2</v>
      </c>
      <c r="C34" s="2"/>
      <c r="D34" s="2">
        <v>24.73</v>
      </c>
      <c r="E34" s="2"/>
      <c r="F34" s="2">
        <v>23</v>
      </c>
      <c r="G34" s="2"/>
      <c r="H34" s="6">
        <v>1.6719999999999999</v>
      </c>
    </row>
    <row r="35" spans="1:13" x14ac:dyDescent="0.35">
      <c r="A35" s="7"/>
      <c r="B35" s="2">
        <v>3</v>
      </c>
      <c r="C35" s="2"/>
      <c r="D35" s="2">
        <v>25.16</v>
      </c>
      <c r="E35" s="2"/>
      <c r="F35" s="2">
        <v>23</v>
      </c>
      <c r="G35" s="2"/>
      <c r="H35" s="6">
        <v>1.0900000000000001</v>
      </c>
    </row>
    <row r="36" spans="1:13" x14ac:dyDescent="0.35">
      <c r="A36" s="7"/>
      <c r="B36" s="2">
        <v>4</v>
      </c>
      <c r="C36" s="2"/>
      <c r="D36" s="2">
        <v>25.26</v>
      </c>
      <c r="E36" s="2"/>
      <c r="F36" s="2">
        <v>23</v>
      </c>
      <c r="G36" s="2"/>
      <c r="H36" s="6">
        <v>1.109</v>
      </c>
    </row>
    <row r="37" spans="1:13" x14ac:dyDescent="0.35">
      <c r="A37" s="7"/>
      <c r="B37" s="2">
        <v>5</v>
      </c>
      <c r="C37" s="2"/>
      <c r="D37" s="2">
        <v>25.16</v>
      </c>
      <c r="E37" s="2"/>
      <c r="F37" s="2">
        <v>23</v>
      </c>
      <c r="G37" s="2"/>
      <c r="H37" s="6">
        <v>1.173</v>
      </c>
    </row>
    <row r="38" spans="1:13" s="1" customFormat="1" x14ac:dyDescent="0.35">
      <c r="A38" s="5"/>
      <c r="B38" s="3"/>
      <c r="C38" s="3"/>
      <c r="D38" s="3">
        <f>AVERAGE(D33:D37)</f>
        <v>25.114000000000001</v>
      </c>
      <c r="E38" s="3"/>
      <c r="F38" s="3">
        <v>23</v>
      </c>
      <c r="G38" s="3"/>
      <c r="H38" s="8">
        <f>AVERAGE(H33:H37)</f>
        <v>1.3784000000000001</v>
      </c>
      <c r="J38" s="13"/>
      <c r="K38" s="15"/>
      <c r="L38" s="15"/>
      <c r="M38" s="15"/>
    </row>
    <row r="39" spans="1:13" x14ac:dyDescent="0.35">
      <c r="A39" s="7"/>
      <c r="B39" s="2"/>
      <c r="C39" s="2"/>
      <c r="D39" s="2"/>
      <c r="E39" s="2"/>
      <c r="F39" s="2"/>
      <c r="G39" s="2"/>
      <c r="H39" s="6"/>
    </row>
    <row r="40" spans="1:13" x14ac:dyDescent="0.35">
      <c r="A40" s="5" t="s">
        <v>7</v>
      </c>
      <c r="B40" s="2">
        <v>1</v>
      </c>
      <c r="C40" s="2"/>
      <c r="D40" s="2">
        <v>30.16</v>
      </c>
      <c r="E40" s="2"/>
      <c r="F40" s="2">
        <v>28</v>
      </c>
      <c r="G40" s="2"/>
      <c r="H40" s="6">
        <v>4.4820000000000002</v>
      </c>
    </row>
    <row r="41" spans="1:13" x14ac:dyDescent="0.35">
      <c r="A41" s="7"/>
      <c r="B41" s="2">
        <v>2</v>
      </c>
      <c r="C41" s="2"/>
      <c r="D41" s="2">
        <v>30.06</v>
      </c>
      <c r="E41" s="2"/>
      <c r="F41" s="2">
        <v>28</v>
      </c>
      <c r="G41" s="2"/>
      <c r="H41" s="6">
        <v>4.4820000000000002</v>
      </c>
    </row>
    <row r="42" spans="1:13" x14ac:dyDescent="0.35">
      <c r="A42" s="7"/>
      <c r="B42" s="2">
        <v>3</v>
      </c>
      <c r="C42" s="2"/>
      <c r="D42" s="2">
        <v>30.06</v>
      </c>
      <c r="E42" s="2"/>
      <c r="F42" s="2">
        <v>28</v>
      </c>
      <c r="G42" s="2"/>
      <c r="H42" s="6">
        <v>4.4820000000000002</v>
      </c>
    </row>
    <row r="43" spans="1:13" x14ac:dyDescent="0.35">
      <c r="A43" s="7"/>
      <c r="B43" s="2">
        <v>4</v>
      </c>
      <c r="C43" s="2"/>
      <c r="D43" s="2">
        <v>30.16</v>
      </c>
      <c r="E43" s="2"/>
      <c r="F43" s="2">
        <v>28</v>
      </c>
      <c r="G43" s="2"/>
      <c r="H43" s="6">
        <v>4.4770000000000003</v>
      </c>
    </row>
    <row r="44" spans="1:13" x14ac:dyDescent="0.35">
      <c r="A44" s="7"/>
      <c r="B44" s="2">
        <v>5</v>
      </c>
      <c r="C44" s="2"/>
      <c r="D44" s="2">
        <v>30.06</v>
      </c>
      <c r="E44" s="2"/>
      <c r="F44" s="2">
        <v>28</v>
      </c>
      <c r="G44" s="2"/>
      <c r="H44" s="6">
        <v>4.4870000000000001</v>
      </c>
    </row>
    <row r="45" spans="1:13" s="1" customFormat="1" ht="15" thickBot="1" x14ac:dyDescent="0.4">
      <c r="A45" s="9"/>
      <c r="B45" s="10"/>
      <c r="C45" s="10"/>
      <c r="D45" s="10">
        <f>AVERAGE(D40:D44)</f>
        <v>30.1</v>
      </c>
      <c r="E45" s="10"/>
      <c r="F45" s="10">
        <v>28</v>
      </c>
      <c r="G45" s="10"/>
      <c r="H45" s="11">
        <f>AVERAGE(H40:H44)</f>
        <v>4.4820000000000011</v>
      </c>
      <c r="J45" s="13"/>
      <c r="K45" s="15"/>
      <c r="L45" s="15"/>
      <c r="M45" s="1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8DB6-3877-4494-B8DC-6AF87CCC419C}">
  <dimension ref="A1:R45"/>
  <sheetViews>
    <sheetView topLeftCell="A49" workbookViewId="0">
      <selection activeCell="F9" sqref="F9"/>
    </sheetView>
  </sheetViews>
  <sheetFormatPr defaultRowHeight="14.5" x14ac:dyDescent="0.35"/>
  <cols>
    <col min="1" max="1" width="12.26953125" bestFit="1" customWidth="1"/>
    <col min="2" max="2" width="9.36328125" bestFit="1" customWidth="1"/>
    <col min="3" max="3" width="8.7265625" bestFit="1" customWidth="1"/>
    <col min="4" max="4" width="6.81640625" bestFit="1" customWidth="1"/>
    <col min="8" max="8" width="6.453125" bestFit="1" customWidth="1"/>
    <col min="10" max="10" width="14.54296875" style="12" bestFit="1" customWidth="1"/>
    <col min="11" max="11" width="12.54296875" style="14" bestFit="1" customWidth="1"/>
    <col min="12" max="12" width="60" style="14" bestFit="1" customWidth="1"/>
    <col min="13" max="13" width="8.7265625" style="14"/>
    <col min="16" max="16" width="12.90625" customWidth="1"/>
  </cols>
  <sheetData>
    <row r="1" spans="1:18" x14ac:dyDescent="0.35">
      <c r="A1" s="13" t="s">
        <v>33</v>
      </c>
      <c r="B1" s="15" t="s">
        <v>29</v>
      </c>
      <c r="C1" s="15" t="s">
        <v>30</v>
      </c>
      <c r="D1" s="15" t="s">
        <v>31</v>
      </c>
      <c r="E1" s="1" t="s">
        <v>32</v>
      </c>
      <c r="F1" s="15" t="s">
        <v>34</v>
      </c>
      <c r="G1" s="15" t="s">
        <v>35</v>
      </c>
      <c r="H1" s="1" t="s">
        <v>36</v>
      </c>
      <c r="I1" s="15" t="s">
        <v>32</v>
      </c>
      <c r="J1" s="26" t="s">
        <v>37</v>
      </c>
      <c r="K1" s="27" t="s">
        <v>38</v>
      </c>
    </row>
    <row r="2" spans="1:18" x14ac:dyDescent="0.35">
      <c r="A2" s="12">
        <v>5</v>
      </c>
      <c r="B2" s="14">
        <v>4.6900000000000004</v>
      </c>
      <c r="C2" s="14">
        <v>5</v>
      </c>
      <c r="D2" s="14">
        <v>1.1830000000000001</v>
      </c>
      <c r="E2">
        <v>14.502000000000001</v>
      </c>
      <c r="F2" s="14">
        <v>0.31</v>
      </c>
      <c r="G2" s="14">
        <v>0</v>
      </c>
      <c r="H2">
        <v>-9.5020000000000007</v>
      </c>
      <c r="I2">
        <v>14.502000000000001</v>
      </c>
      <c r="J2" s="14">
        <v>0.28970000000000001</v>
      </c>
      <c r="K2" s="14">
        <v>-1.6</v>
      </c>
    </row>
    <row r="3" spans="1:18" x14ac:dyDescent="0.35">
      <c r="A3" s="12">
        <v>10</v>
      </c>
      <c r="B3" s="14">
        <v>10.074</v>
      </c>
      <c r="C3" s="14">
        <v>9</v>
      </c>
      <c r="D3" s="14">
        <v>1.173</v>
      </c>
      <c r="E3">
        <v>14.401</v>
      </c>
      <c r="F3" s="14">
        <v>-7.3999999999999996E-2</v>
      </c>
      <c r="G3" s="14">
        <v>1</v>
      </c>
      <c r="H3">
        <v>-4.4009999999999998</v>
      </c>
      <c r="I3">
        <v>14.401</v>
      </c>
      <c r="J3" s="14">
        <v>-9.4299999999999995E-2</v>
      </c>
      <c r="K3" s="14">
        <v>-0.6</v>
      </c>
    </row>
    <row r="4" spans="1:18" x14ac:dyDescent="0.35">
      <c r="A4" s="12">
        <v>15</v>
      </c>
      <c r="B4" s="14">
        <v>15.08</v>
      </c>
      <c r="C4" s="14">
        <v>12.4</v>
      </c>
      <c r="D4" s="14">
        <v>1.1299999999999999</v>
      </c>
      <c r="E4">
        <v>13.965</v>
      </c>
      <c r="F4" s="14">
        <v>-0.08</v>
      </c>
      <c r="G4" s="14">
        <v>2.6</v>
      </c>
      <c r="H4">
        <v>-1.0349999999999999</v>
      </c>
      <c r="I4">
        <v>13.965</v>
      </c>
      <c r="J4" s="14">
        <v>-0.1003</v>
      </c>
      <c r="K4" s="14">
        <v>1</v>
      </c>
    </row>
    <row r="5" spans="1:18" x14ac:dyDescent="0.35">
      <c r="A5" s="12">
        <v>20</v>
      </c>
      <c r="B5" s="14">
        <v>19.82</v>
      </c>
      <c r="C5" s="14">
        <v>18</v>
      </c>
      <c r="D5" s="14">
        <v>1.1288</v>
      </c>
      <c r="E5">
        <v>13.952</v>
      </c>
      <c r="F5" s="14">
        <v>0.18</v>
      </c>
      <c r="G5" s="14">
        <v>2</v>
      </c>
      <c r="H5">
        <v>-6.048</v>
      </c>
      <c r="I5">
        <v>13.952</v>
      </c>
      <c r="J5" s="14">
        <v>0.15970000000000001</v>
      </c>
      <c r="K5" s="14">
        <v>0.4</v>
      </c>
    </row>
    <row r="6" spans="1:18" x14ac:dyDescent="0.35">
      <c r="A6" s="12">
        <v>25</v>
      </c>
      <c r="B6" s="14">
        <v>25.114000000000001</v>
      </c>
      <c r="C6" s="14">
        <v>23</v>
      </c>
      <c r="D6" s="14">
        <v>1.3784000000000001</v>
      </c>
      <c r="E6">
        <v>14.04</v>
      </c>
      <c r="F6" s="14">
        <v>-0.114</v>
      </c>
      <c r="G6" s="14">
        <v>2</v>
      </c>
      <c r="H6">
        <v>9.0399999999999991</v>
      </c>
      <c r="I6">
        <v>14.04</v>
      </c>
      <c r="J6" s="14">
        <v>-0.1343</v>
      </c>
      <c r="K6" s="14">
        <v>0.4</v>
      </c>
    </row>
    <row r="7" spans="1:18" x14ac:dyDescent="0.35">
      <c r="A7" s="12">
        <v>30</v>
      </c>
      <c r="B7" s="14">
        <v>30.1</v>
      </c>
      <c r="C7" s="14">
        <v>28</v>
      </c>
      <c r="D7" s="14">
        <v>4.4820000000000002</v>
      </c>
      <c r="E7">
        <v>43.46</v>
      </c>
      <c r="F7" s="14">
        <v>-0.1</v>
      </c>
      <c r="G7" s="14">
        <v>2</v>
      </c>
      <c r="H7">
        <v>-13.46</v>
      </c>
      <c r="I7">
        <v>43.46</v>
      </c>
      <c r="J7" s="14">
        <v>-0.1203</v>
      </c>
      <c r="K7" s="14">
        <v>0.4</v>
      </c>
    </row>
    <row r="10" spans="1:18" s="1" customFormat="1" x14ac:dyDescent="0.35">
      <c r="J10" s="15"/>
      <c r="K10" s="15"/>
    </row>
    <row r="11" spans="1:18" s="1" customFormat="1" x14ac:dyDescent="0.35">
      <c r="J11" s="13"/>
      <c r="K11" s="15"/>
      <c r="L11" s="15"/>
      <c r="M11" s="15"/>
    </row>
    <row r="12" spans="1:18" x14ac:dyDescent="0.35">
      <c r="A12" s="1"/>
    </row>
    <row r="13" spans="1:18" x14ac:dyDescent="0.35">
      <c r="O13" s="1"/>
      <c r="P13" s="1"/>
    </row>
    <row r="14" spans="1:18" x14ac:dyDescent="0.35">
      <c r="L14" s="36"/>
      <c r="M14" s="14" t="s">
        <v>20</v>
      </c>
      <c r="O14" s="1"/>
      <c r="P14" s="1"/>
      <c r="Q14" s="1"/>
      <c r="R14" s="1"/>
    </row>
    <row r="15" spans="1:18" x14ac:dyDescent="0.35">
      <c r="M15" s="14" t="s">
        <v>21</v>
      </c>
      <c r="O15" s="14"/>
      <c r="Q15" s="14"/>
    </row>
    <row r="16" spans="1:18" x14ac:dyDescent="0.35">
      <c r="L16" s="14" t="s">
        <v>28</v>
      </c>
      <c r="O16" s="14"/>
      <c r="Q16" s="14"/>
    </row>
    <row r="17" spans="1:17" s="1" customFormat="1" x14ac:dyDescent="0.35">
      <c r="J17" s="13"/>
      <c r="K17" s="15"/>
      <c r="L17" s="15"/>
      <c r="M17" s="15"/>
      <c r="O17" s="14"/>
      <c r="P17"/>
      <c r="Q17" s="14"/>
    </row>
    <row r="18" spans="1:17" x14ac:dyDescent="0.35">
      <c r="O18" s="14"/>
      <c r="Q18" s="14"/>
    </row>
    <row r="19" spans="1:17" x14ac:dyDescent="0.35">
      <c r="A19" s="1"/>
      <c r="O19" s="14"/>
      <c r="Q19" s="14"/>
    </row>
    <row r="20" spans="1:17" x14ac:dyDescent="0.35">
      <c r="O20" s="14"/>
      <c r="Q20" s="14"/>
    </row>
    <row r="24" spans="1:17" s="1" customFormat="1" x14ac:dyDescent="0.35">
      <c r="J24" s="13"/>
      <c r="K24" s="15"/>
      <c r="L24" s="15"/>
      <c r="M24" s="15"/>
    </row>
    <row r="26" spans="1:17" x14ac:dyDescent="0.35">
      <c r="A26" s="1"/>
    </row>
    <row r="31" spans="1:17" s="1" customFormat="1" x14ac:dyDescent="0.35">
      <c r="J31" s="13"/>
      <c r="K31" s="15"/>
      <c r="L31" s="15"/>
      <c r="M31" s="15"/>
    </row>
    <row r="33" spans="1:13" x14ac:dyDescent="0.35">
      <c r="A33" s="1"/>
    </row>
    <row r="38" spans="1:13" s="1" customFormat="1" x14ac:dyDescent="0.35">
      <c r="J38" s="13"/>
      <c r="K38" s="15"/>
      <c r="L38" s="15"/>
      <c r="M38" s="15"/>
    </row>
    <row r="40" spans="1:13" x14ac:dyDescent="0.35">
      <c r="A40" s="1"/>
    </row>
    <row r="45" spans="1:13" s="1" customFormat="1" x14ac:dyDescent="0.35">
      <c r="J45" s="13"/>
      <c r="K45" s="15"/>
      <c r="L45" s="15"/>
      <c r="M4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Blay</dc:creator>
  <cp:lastModifiedBy>Dennis Blay</cp:lastModifiedBy>
  <dcterms:created xsi:type="dcterms:W3CDTF">2025-12-06T14:57:57Z</dcterms:created>
  <dcterms:modified xsi:type="dcterms:W3CDTF">2025-12-07T00:20:59Z</dcterms:modified>
</cp:coreProperties>
</file>